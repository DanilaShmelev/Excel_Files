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rise\Desktop\"/>
    </mc:Choice>
  </mc:AlternateContent>
  <xr:revisionPtr revIDLastSave="0" documentId="13_ncr:1_{79B189E7-DF66-4EC1-ACE0-7C82C32D1E67}" xr6:coauthVersionLast="47" xr6:coauthVersionMax="47" xr10:uidLastSave="{00000000-0000-0000-0000-000000000000}"/>
  <bookViews>
    <workbookView xWindow="-120" yWindow="-120" windowWidth="29040" windowHeight="15720" xr2:uid="{81D038C8-255C-7444-BF8A-91D6CE558012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15" i="1" l="1"/>
  <c r="D15" i="1"/>
  <c r="B15" i="1"/>
  <c r="J21" i="1"/>
  <c r="J20" i="1"/>
  <c r="J15" i="1"/>
  <c r="J11" i="1"/>
  <c r="I20" i="1"/>
  <c r="I21" i="1"/>
  <c r="I11" i="1"/>
  <c r="I15" i="1"/>
  <c r="H21" i="1"/>
  <c r="H20" i="1"/>
  <c r="H15" i="1"/>
  <c r="H11" i="1"/>
  <c r="G21" i="1"/>
  <c r="G20" i="1"/>
  <c r="G15" i="1"/>
  <c r="G11" i="1"/>
  <c r="F11" i="1"/>
  <c r="E11" i="1"/>
  <c r="E3" i="1"/>
  <c r="D11" i="1"/>
  <c r="C11" i="1"/>
  <c r="B11" i="1"/>
  <c r="C3" i="1"/>
  <c r="C23" i="1" a="1"/>
  <c r="G23" i="1" a="1"/>
  <c r="H23" i="1" a="1"/>
  <c r="D23" i="1" a="1"/>
  <c r="I23" i="1" a="1"/>
  <c r="J23" i="1" a="1"/>
  <c r="E23" i="1" a="1"/>
  <c r="F23" i="1" a="1"/>
  <c r="B23" i="1" a="1"/>
  <c r="C48" i="1" a="1"/>
  <c r="C49" i="1" a="1"/>
  <c r="C50" i="1" a="1"/>
  <c r="C47" i="1" a="1"/>
  <c r="F23" i="1" l="1"/>
  <c r="E23" i="1"/>
  <c r="J23" i="1"/>
  <c r="I23" i="1"/>
  <c r="D23" i="1"/>
  <c r="H23" i="1"/>
  <c r="G23" i="1"/>
  <c r="C23" i="1"/>
  <c r="B23" i="1"/>
  <c r="C50" i="1"/>
  <c r="C49" i="1"/>
  <c r="C48" i="1"/>
  <c r="C4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<sst xmlns="http://schemas.openxmlformats.org/spreadsheetml/2006/main" count="183" uniqueCount="112">
  <si>
    <t>Название</t>
  </si>
  <si>
    <t>Цена</t>
  </si>
  <si>
    <t>Диагональ</t>
  </si>
  <si>
    <t>Рзрешение</t>
  </si>
  <si>
    <t>Матрица</t>
  </si>
  <si>
    <t>Герцовка</t>
  </si>
  <si>
    <t>Поддерживаемые технологии</t>
  </si>
  <si>
    <t>Изогнутый</t>
  </si>
  <si>
    <t>Соотношение сторон</t>
  </si>
  <si>
    <t>Гарантия</t>
  </si>
  <si>
    <t>Монитор Redmi G27Q 240 Гц</t>
  </si>
  <si>
    <t>2560x1440(2K)</t>
  </si>
  <si>
    <t>IPS</t>
  </si>
  <si>
    <t xml:space="preserve">Freesync </t>
  </si>
  <si>
    <t xml:space="preserve">Нет </t>
  </si>
  <si>
    <t xml:space="preserve">1 год </t>
  </si>
  <si>
    <t>Монитор MAG 273QP QD-OLED X24</t>
  </si>
  <si>
    <t>38 000 руб</t>
  </si>
  <si>
    <t>2K</t>
  </si>
  <si>
    <t>QD-OLED</t>
  </si>
  <si>
    <t>0.03 мс</t>
  </si>
  <si>
    <t xml:space="preserve">Покрытие экрана </t>
  </si>
  <si>
    <t xml:space="preserve">Матовое </t>
  </si>
  <si>
    <t>Freesync/G-sync</t>
  </si>
  <si>
    <t>Монитор MAG 274QF X24</t>
  </si>
  <si>
    <t xml:space="preserve">16 500 руб </t>
  </si>
  <si>
    <t>rapid IPS</t>
  </si>
  <si>
    <t>0.5 ms</t>
  </si>
  <si>
    <t xml:space="preserve">нет </t>
  </si>
  <si>
    <t>6 месяцев</t>
  </si>
  <si>
    <t xml:space="preserve"> Монитор ROG STRIX 
OLED XG27ACDMS-2K</t>
  </si>
  <si>
    <t xml:space="preserve">50 000 руб </t>
  </si>
  <si>
    <t>0.03 ms</t>
  </si>
  <si>
    <t>Freesync</t>
  </si>
  <si>
    <t>Матовое</t>
  </si>
  <si>
    <t xml:space="preserve">24 000 руб </t>
  </si>
  <si>
    <t>Монитор (RTX666)Gigabyte 
M27Q X(rev.2.0)</t>
  </si>
  <si>
    <t>SS IPS</t>
  </si>
  <si>
    <t>1 ms</t>
  </si>
  <si>
    <t>Оценка</t>
  </si>
  <si>
    <r>
      <rPr>
        <b/>
        <sz val="14"/>
        <color theme="1"/>
        <rFont val="TimesNewRomanPSMT"/>
        <charset val="204"/>
      </rPr>
      <t>IPS (In-Plane Switching)</t>
    </r>
    <r>
      <rPr>
        <sz val="14"/>
        <color theme="1"/>
        <rFont val="TimesNewRomanPSMT"/>
        <charset val="204"/>
      </rPr>
      <t xml:space="preserve">
Принцип работы: Жидкие кристаллы поворачиваются в одной плоскости, обеспечивая стабильную цветопередачу под разными углами.
</t>
    </r>
    <r>
      <rPr>
        <b/>
        <sz val="14"/>
        <color theme="1"/>
        <rFont val="TimesNewRomanPSMT"/>
        <charset val="204"/>
      </rPr>
      <t>Плюсы:</t>
    </r>
    <r>
      <rPr>
        <sz val="14"/>
        <color theme="1"/>
        <rFont val="TimesNewRomanPSMT"/>
        <charset val="204"/>
      </rPr>
      <t xml:space="preserve">
Отличная цветопередача и точность цветов
Широкие углы обзора (до 178°)
Стабильная яркость при изменении угла просмотра
Хорошо подходит для профессиональной работы с графикой
</t>
    </r>
    <r>
      <rPr>
        <b/>
        <sz val="14"/>
        <color theme="1"/>
        <rFont val="TimesNewRomanPSMT"/>
        <charset val="204"/>
      </rPr>
      <t>Минусы:</t>
    </r>
    <r>
      <rPr>
        <sz val="14"/>
        <color theme="1"/>
        <rFont val="TimesNewRomanPSMT"/>
        <charset val="204"/>
      </rPr>
      <t xml:space="preserve">
Более высокое время отклика (обычно 4-5 мс)
Заметный IPS glow (свечение по краям в темноте)
Более высокое энергопотребление
Обычно дороже TN-матриц</t>
    </r>
  </si>
  <si>
    <r>
      <rPr>
        <b/>
        <sz val="14"/>
        <color theme="1"/>
        <rFont val="TimesNewRomanPSMT"/>
        <charset val="204"/>
      </rPr>
      <t>SS-IPS (Super Stable IPS)</t>
    </r>
    <r>
      <rPr>
        <sz val="14"/>
        <color theme="1"/>
        <rFont val="TimesNewRomanPSMT"/>
        <family val="2"/>
        <charset val="204"/>
      </rPr>
      <t xml:space="preserve">
Особенности: Технология Panasonic, сейчас используется реже.
</t>
    </r>
    <r>
      <rPr>
        <b/>
        <sz val="14"/>
        <color theme="1"/>
        <rFont val="TimesNewRomanPSMT"/>
        <charset val="204"/>
      </rPr>
      <t>Преимущества:</t>
    </r>
    <r>
      <rPr>
        <sz val="14"/>
        <color theme="1"/>
        <rFont val="TimesNewRomanPSMT"/>
        <family val="2"/>
        <charset val="204"/>
      </rPr>
      <t xml:space="preserve">
Очень стабильная цветопередача
Минимальные цветовые сдвиги при изменении углов
Высокая точность цветов
Долговечность
</t>
    </r>
    <r>
      <rPr>
        <b/>
        <sz val="14"/>
        <color theme="1"/>
        <rFont val="TimesNewRomanPSMT"/>
        <charset val="204"/>
      </rPr>
      <t>Недостатки:</t>
    </r>
    <r>
      <rPr>
        <sz val="14"/>
        <color theme="1"/>
        <rFont val="TimesNewRomanPSMT"/>
        <family val="2"/>
        <charset val="204"/>
      </rPr>
      <t xml:space="preserve">
Медленное время отклика
Высокая стоимость
Ограниченная доступность</t>
    </r>
  </si>
  <si>
    <r>
      <rPr>
        <b/>
        <sz val="14"/>
        <color theme="1"/>
        <rFont val="TimesNewRomanPSMT"/>
        <charset val="204"/>
      </rPr>
      <t>Rapid IPS</t>
    </r>
    <r>
      <rPr>
        <sz val="14"/>
        <color theme="1"/>
        <rFont val="TimesNewRomanPSMT"/>
        <family val="2"/>
        <charset val="204"/>
      </rPr>
      <t xml:space="preserve">
Что это: Улучшенная версия обычной IPS от LG Display с оптимизированной структурой пикселей.
</t>
    </r>
    <r>
      <rPr>
        <b/>
        <sz val="14"/>
        <color theme="1"/>
        <rFont val="TimesNewRomanPSMT"/>
        <charset val="204"/>
      </rPr>
      <t>Отличия от обычной IPS:</t>
    </r>
    <r>
      <rPr>
        <sz val="14"/>
        <color theme="1"/>
        <rFont val="TimesNewRomanPSMT"/>
        <family val="2"/>
        <charset val="204"/>
      </rPr>
      <t xml:space="preserve">
Значительно быстрее время отклика (до 1 мс GTG)
Лучше подходит для игр
Сохраняет все преимущества IPS по цветопередаче
Меньший input lag
</t>
    </r>
    <r>
      <rPr>
        <b/>
        <sz val="14"/>
        <color theme="1"/>
        <rFont val="TimesNewRomanPSMT"/>
        <charset val="204"/>
      </rPr>
      <t>Применение:</t>
    </r>
    <r>
      <rPr>
        <sz val="14"/>
        <color theme="1"/>
        <rFont val="TimesNewRomanPSMT"/>
        <family val="2"/>
        <charset val="204"/>
      </rPr>
      <t xml:space="preserve"> Игровые мониторы, где нужна и скорость, и качество изображения.</t>
    </r>
  </si>
  <si>
    <r>
      <rPr>
        <b/>
        <sz val="14"/>
        <color theme="1"/>
        <rFont val="TimesNewRomanPSMT"/>
        <charset val="204"/>
      </rPr>
      <t>QD-OLED (Quantum Dot OLED)</t>
    </r>
    <r>
      <rPr>
        <sz val="14"/>
        <color theme="1"/>
        <rFont val="TimesNewRomanPSMT"/>
        <family val="2"/>
        <charset val="204"/>
      </rPr>
      <t xml:space="preserve">
Принцип: Комбинирует OLED-подсветку с квантовыми точками Samsung.
</t>
    </r>
    <r>
      <rPr>
        <b/>
        <sz val="14"/>
        <color theme="1"/>
        <rFont val="TimesNewRomanPSMT"/>
        <charset val="204"/>
      </rPr>
      <t>Плюсы:</t>
    </r>
    <r>
      <rPr>
        <sz val="14"/>
        <color theme="1"/>
        <rFont val="TimesNewRomanPSMT"/>
        <family val="2"/>
        <charset val="204"/>
      </rPr>
      <t xml:space="preserve">
Истинный черный цвет (пиксели полностью выключаются)
Невероятный контраст (∞:1)
Яркие, насыщенные цвета
Быстрое время отклика (&lt;0.1 мс)
Тонкий корпус
</t>
    </r>
    <r>
      <rPr>
        <b/>
        <sz val="14"/>
        <color theme="1"/>
        <rFont val="TimesNewRomanPSMT"/>
        <charset val="204"/>
      </rPr>
      <t>Минусы:</t>
    </r>
    <r>
      <rPr>
        <sz val="14"/>
        <color theme="1"/>
        <rFont val="TimesNewRomanPSMT"/>
        <family val="2"/>
        <charset val="204"/>
      </rPr>
      <t xml:space="preserve">
Очень высокая цена
Возможен burn-in при статичных изображениях
Отражения от глянцевой поверхности
Ограниченная яркость в сравнении с LCD</t>
    </r>
  </si>
  <si>
    <t>Тип подсветки</t>
  </si>
  <si>
    <t>Контрастность</t>
  </si>
  <si>
    <t xml:space="preserve">Яркость </t>
  </si>
  <si>
    <t xml:space="preserve">Глубина цвета </t>
  </si>
  <si>
    <t xml:space="preserve">Время отлик </t>
  </si>
  <si>
    <t xml:space="preserve">Ругулировка по высоте </t>
  </si>
  <si>
    <t xml:space="preserve">Регулировка наклона </t>
  </si>
  <si>
    <t xml:space="preserve">Вес без подставки </t>
  </si>
  <si>
    <t xml:space="preserve">Вес монитора с подставкой </t>
  </si>
  <si>
    <t>Плотность пикселей</t>
  </si>
  <si>
    <t>Монитор Samsung Odyssey G4 G40B S27BG400EI</t>
  </si>
  <si>
    <t>20 000 руб</t>
  </si>
  <si>
    <t>fullhd</t>
  </si>
  <si>
    <t>1ms</t>
  </si>
  <si>
    <t>AMD FreeSync Premium, 
NVIDIA G-SYNC Compatible</t>
  </si>
  <si>
    <t>2 года</t>
  </si>
  <si>
    <t>LED</t>
  </si>
  <si>
    <t>400 Кд/м²</t>
  </si>
  <si>
    <t>8 bit</t>
  </si>
  <si>
    <t>Да</t>
  </si>
  <si>
    <t>82 ppi</t>
  </si>
  <si>
    <t>Монитор Samsung Odyssey G4
 G40B S25BG400EI</t>
  </si>
  <si>
    <t xml:space="preserve">20 000 руб </t>
  </si>
  <si>
    <t>нет</t>
  </si>
  <si>
    <t>88 ppi</t>
  </si>
  <si>
    <t>Размер VESA</t>
  </si>
  <si>
    <t>100x100</t>
  </si>
  <si>
    <t>Монитор LG UltraGear 27GP750-B</t>
  </si>
  <si>
    <t xml:space="preserve">24 700 руб </t>
  </si>
  <si>
    <t xml:space="preserve">1ms </t>
  </si>
  <si>
    <t>81 ppi</t>
  </si>
  <si>
    <t xml:space="preserve">8 bit </t>
  </si>
  <si>
    <t>AMD FreeSync, 
NVIDIA G-SYNC Compatible</t>
  </si>
  <si>
    <t>MSI 24.5" Монитор MAG255PXF</t>
  </si>
  <si>
    <t xml:space="preserve">13 000 руб </t>
  </si>
  <si>
    <t>Rapid IPS</t>
  </si>
  <si>
    <t>6 Месяцев</t>
  </si>
  <si>
    <t>AMD FreeSync Premium, HDR Ready, 
AI Vision</t>
  </si>
  <si>
    <t>W-LED</t>
  </si>
  <si>
    <t>10 bit</t>
  </si>
  <si>
    <t>90ppi</t>
  </si>
  <si>
    <t>fast IPS</t>
  </si>
  <si>
    <t xml:space="preserve">1 ms </t>
  </si>
  <si>
    <t>75x75 мм</t>
  </si>
  <si>
    <t>4.3 кг</t>
  </si>
  <si>
    <t>5.6 кг</t>
  </si>
  <si>
    <t>109 ppi</t>
  </si>
  <si>
    <t>Антибликовое</t>
  </si>
  <si>
    <t>1 500 000:1</t>
  </si>
  <si>
    <t>450 кд/м²</t>
  </si>
  <si>
    <t>6.7 кг</t>
  </si>
  <si>
    <t>9.65 кг</t>
  </si>
  <si>
    <t>111 ppi</t>
  </si>
  <si>
    <t>AMD FreeSync Premium, 
Adaptive-Sync, 
HDR Ready, AI Vision</t>
  </si>
  <si>
    <t>250 кд/м²</t>
  </si>
  <si>
    <t>8 бит + FRC</t>
  </si>
  <si>
    <t>4.7 кг</t>
  </si>
  <si>
    <t>6.55 кг</t>
  </si>
  <si>
    <t>VESA DisplayHDR 400 True Black, 
G-SYNC Compatible, Adaptive-Sync, 
ASUS OLED Care Pro</t>
  </si>
  <si>
    <t>1000 кд/м² </t>
  </si>
  <si>
    <t>3.8 кг</t>
  </si>
  <si>
    <t>6.1 кг</t>
  </si>
  <si>
    <t>W-LED Edge</t>
  </si>
  <si>
    <t>400 кд/м² </t>
  </si>
  <si>
    <t xml:space="preserve">Да </t>
  </si>
  <si>
    <t>4.2 кг</t>
  </si>
  <si>
    <t>5.2 кг</t>
  </si>
  <si>
    <t xml:space="preserve">18 665 руб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</si>
</sst>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theme="1"/>
      <name val="TimesNewRomanPSMT"/>
      <family val="2"/>
      <charset val="204"/>
    </font>
    <font>
      <sz val="14"/>
      <color theme="1"/>
      <name val="TimesNewRomanPSMT"/>
      <family val="2"/>
      <charset val="204"/>
    </font>
    <font>
      <b/>
      <sz val="14"/>
      <color theme="1"/>
      <name val="TimesNewRomanPSMT"/>
      <charset val="204"/>
    </font>
    <font>
      <sz val="14"/>
      <color theme="1"/>
      <name val="TimesNewRomanPSMT"/>
      <charset val="204"/>
    </font>
    <font>
      <sz val="14"/>
      <color theme="1"/>
      <name val="Times New Roman"/>
      <family val="1"/>
      <charset val="204"/>
    </font>
    <font>
      <b/>
      <sz val="14"/>
      <color rgb="FF070707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rgb="FF333333"/>
      <name val="Times New Roman"/>
      <family val="1"/>
      <charset val="204"/>
    </font>
  </fonts>
  <fills count="8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5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" fontId="4" fillId="4" borderId="1" xfId="0" applyNumberFormat="1" applyFont="1" applyFill="1" applyBorder="1" applyAlignment="1">
      <alignment horizontal="center" vertical="center"/>
    </xf>
    <xf numFmtId="20" fontId="4" fillId="4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left"/>
    </xf>
    <xf numFmtId="0" fontId="3" fillId="4" borderId="1" xfId="0" applyFont="1" applyFill="1" applyBorder="1" applyAlignment="1">
      <alignment horizontal="left"/>
    </xf>
    <xf numFmtId="0" fontId="3" fillId="0" borderId="1" xfId="0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/>
    </xf>
    <xf numFmtId="0" fontId="3" fillId="5" borderId="1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 wrapText="1"/>
    </xf>
    <xf numFmtId="22" fontId="4" fillId="4" borderId="1" xfId="0" applyNumberFormat="1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2" fillId="4" borderId="10" xfId="0" applyFont="1" applyFill="1" applyBorder="1"/>
    <xf numFmtId="0" fontId="6" fillId="2" borderId="11" xfId="0" applyFont="1" applyFill="1" applyBorder="1" applyAlignment="1">
      <alignment horizontal="center" vertical="center"/>
    </xf>
    <xf numFmtId="0" fontId="2" fillId="7" borderId="1" xfId="0" applyFont="1" applyFill="1" applyBorder="1"/>
    <xf numFmtId="0" fontId="2" fillId="6" borderId="3" xfId="0" applyFont="1" applyFill="1" applyBorder="1"/>
    <xf numFmtId="0" fontId="4" fillId="0" borderId="1" xfId="0" applyFont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 2013–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4A238-B74C-344A-9382-1C94CABCC171}">
  <sheetPr codeName="Лист1"/>
  <dimension ref="A1:J50"/>
  <sheetViews>
    <sheetView tabSelected="1" zoomScale="70" zoomScaleNormal="70" workbookViewId="0">
      <selection activeCell="J33" sqref="J33"/>
    </sheetView>
  </sheetViews>
  <sheetFormatPr defaultColWidth="32.77734375" defaultRowHeight="15"/>
  <cols>
    <col min="3" max="3" width="43.33203125" customWidth="1"/>
  </cols>
  <sheetData>
    <row r="1" spans="1:10" ht="39" customHeight="1">
      <c r="A1" s="9" t="s">
        <v>0</v>
      </c>
      <c r="B1" s="1" t="s">
        <v>10</v>
      </c>
      <c r="C1" s="2" t="s">
        <v>16</v>
      </c>
      <c r="D1" s="1" t="s">
        <v>24</v>
      </c>
      <c r="E1" s="3" t="s">
        <v>30</v>
      </c>
      <c r="F1" s="3" t="s">
        <v>36</v>
      </c>
      <c r="G1" s="10" t="s">
        <v>54</v>
      </c>
      <c r="H1" s="3" t="s">
        <v>65</v>
      </c>
      <c r="I1" s="2" t="s">
        <v>71</v>
      </c>
      <c r="J1" s="2" t="s">
        <v>77</v>
      </c>
    </row>
    <row r="2" spans="1:10" ht="21.75" customHeight="1">
      <c r="A2" s="9" t="s">
        <v>1</v>
      </c>
      <c r="B2" s="4" t="s">
        <v>111</v>
      </c>
      <c r="C2" s="6" t="s">
        <v>17</v>
      </c>
      <c r="D2" s="4" t="s">
        <v>25</v>
      </c>
      <c r="E2" s="6" t="s">
        <v>31</v>
      </c>
      <c r="F2" s="5" t="s">
        <v>35</v>
      </c>
      <c r="G2" s="16" t="s">
        <v>55</v>
      </c>
      <c r="H2" s="16" t="s">
        <v>66</v>
      </c>
      <c r="I2" s="5" t="s">
        <v>72</v>
      </c>
      <c r="J2" s="4" t="s">
        <v>78</v>
      </c>
    </row>
    <row r="3" spans="1:10" ht="21.75" customHeight="1">
      <c r="A3" s="9" t="s">
        <v>2</v>
      </c>
      <c r="B3" s="4">
        <v>27</v>
      </c>
      <c r="C3" s="7" t="str">
        <f>"26.5"</f>
        <v>26.5</v>
      </c>
      <c r="D3" s="4">
        <v>27</v>
      </c>
      <c r="E3" s="7" t="str">
        <f>"26.5"</f>
        <v>26.5</v>
      </c>
      <c r="F3" s="4">
        <v>27</v>
      </c>
      <c r="G3" s="4">
        <v>27</v>
      </c>
      <c r="H3" s="16">
        <v>25</v>
      </c>
      <c r="I3" s="4">
        <v>27</v>
      </c>
      <c r="J3" s="16">
        <v>25</v>
      </c>
    </row>
    <row r="4" spans="1:10" ht="21.75" customHeight="1">
      <c r="A4" s="9" t="s">
        <v>3</v>
      </c>
      <c r="B4" s="16" t="s">
        <v>11</v>
      </c>
      <c r="C4" s="16" t="s">
        <v>18</v>
      </c>
      <c r="D4" s="16" t="s">
        <v>18</v>
      </c>
      <c r="E4" s="16" t="s">
        <v>18</v>
      </c>
      <c r="F4" s="16" t="s">
        <v>18</v>
      </c>
      <c r="G4" s="4" t="s">
        <v>56</v>
      </c>
      <c r="H4" s="4" t="s">
        <v>56</v>
      </c>
      <c r="I4" s="4" t="s">
        <v>56</v>
      </c>
      <c r="J4" s="4" t="s">
        <v>56</v>
      </c>
    </row>
    <row r="5" spans="1:10" ht="21.75" customHeight="1">
      <c r="A5" s="9" t="s">
        <v>4</v>
      </c>
      <c r="B5" s="16" t="s">
        <v>85</v>
      </c>
      <c r="C5" s="4" t="s">
        <v>19</v>
      </c>
      <c r="D5" s="16" t="s">
        <v>26</v>
      </c>
      <c r="E5" s="4" t="s">
        <v>19</v>
      </c>
      <c r="F5" s="5" t="s">
        <v>37</v>
      </c>
      <c r="G5" s="5" t="s">
        <v>12</v>
      </c>
      <c r="H5" s="5" t="s">
        <v>12</v>
      </c>
      <c r="I5" s="5" t="s">
        <v>12</v>
      </c>
      <c r="J5" s="16" t="s">
        <v>79</v>
      </c>
    </row>
    <row r="6" spans="1:10" ht="21.75" customHeight="1">
      <c r="A6" s="9" t="s">
        <v>48</v>
      </c>
      <c r="B6" s="5" t="s">
        <v>86</v>
      </c>
      <c r="C6" s="4" t="s">
        <v>20</v>
      </c>
      <c r="D6" s="16" t="s">
        <v>27</v>
      </c>
      <c r="E6" s="4" t="s">
        <v>32</v>
      </c>
      <c r="F6" s="5" t="s">
        <v>38</v>
      </c>
      <c r="G6" s="5" t="s">
        <v>57</v>
      </c>
      <c r="H6" s="5" t="s">
        <v>57</v>
      </c>
      <c r="I6" s="5" t="s">
        <v>73</v>
      </c>
      <c r="J6" s="16" t="s">
        <v>27</v>
      </c>
    </row>
    <row r="7" spans="1:10" ht="21.75" customHeight="1">
      <c r="A7" s="9" t="s">
        <v>5</v>
      </c>
      <c r="B7" s="16">
        <v>240</v>
      </c>
      <c r="C7" s="16">
        <v>240</v>
      </c>
      <c r="D7" s="16">
        <v>240</v>
      </c>
      <c r="E7" s="4">
        <v>280</v>
      </c>
      <c r="F7" s="16">
        <v>240</v>
      </c>
      <c r="G7" s="16">
        <v>240</v>
      </c>
      <c r="H7" s="16">
        <v>240</v>
      </c>
      <c r="I7" s="16">
        <v>240</v>
      </c>
      <c r="J7" s="4">
        <v>300</v>
      </c>
    </row>
    <row r="8" spans="1:10" ht="63.75" customHeight="1">
      <c r="A8" s="9" t="s">
        <v>6</v>
      </c>
      <c r="B8" s="4" t="s">
        <v>13</v>
      </c>
      <c r="C8" s="4" t="s">
        <v>23</v>
      </c>
      <c r="D8" s="18" t="s">
        <v>97</v>
      </c>
      <c r="E8" s="18" t="s">
        <v>102</v>
      </c>
      <c r="F8" s="4" t="s">
        <v>33</v>
      </c>
      <c r="G8" s="18" t="s">
        <v>58</v>
      </c>
      <c r="H8" s="18" t="s">
        <v>58</v>
      </c>
      <c r="I8" s="18" t="s">
        <v>76</v>
      </c>
      <c r="J8" s="18" t="s">
        <v>81</v>
      </c>
    </row>
    <row r="9" spans="1:10" ht="21.75" customHeight="1">
      <c r="A9" s="9" t="s">
        <v>69</v>
      </c>
      <c r="B9" s="4" t="s">
        <v>87</v>
      </c>
      <c r="C9" s="4" t="s">
        <v>70</v>
      </c>
      <c r="D9" s="4" t="s">
        <v>70</v>
      </c>
      <c r="E9" s="4" t="s">
        <v>70</v>
      </c>
      <c r="F9" s="4" t="s">
        <v>70</v>
      </c>
      <c r="G9" s="4" t="s">
        <v>70</v>
      </c>
      <c r="H9" s="4" t="s">
        <v>70</v>
      </c>
      <c r="I9" s="4" t="s">
        <v>70</v>
      </c>
      <c r="J9" s="4" t="s">
        <v>70</v>
      </c>
    </row>
    <row r="10" spans="1:10" ht="21.75" customHeight="1">
      <c r="A10" s="9" t="s">
        <v>7</v>
      </c>
      <c r="B10" s="4" t="s">
        <v>14</v>
      </c>
      <c r="C10" s="4" t="s">
        <v>14</v>
      </c>
      <c r="D10" s="4" t="s">
        <v>28</v>
      </c>
      <c r="E10" s="4" t="s">
        <v>28</v>
      </c>
      <c r="F10" s="4" t="s">
        <v>28</v>
      </c>
      <c r="G10" s="4" t="s">
        <v>28</v>
      </c>
      <c r="H10" s="4" t="s">
        <v>28</v>
      </c>
      <c r="I10" s="4" t="s">
        <v>28</v>
      </c>
      <c r="J10" s="4" t="s">
        <v>67</v>
      </c>
    </row>
    <row r="11" spans="1:10" ht="21.75" customHeight="1">
      <c r="A11" s="9" t="s">
        <v>8</v>
      </c>
      <c r="B11" s="8" t="str">
        <f t="shared" ref="B11:J11" si="0">"16:9"</f>
        <v>16:9</v>
      </c>
      <c r="C11" s="4" t="str">
        <f t="shared" si="0"/>
        <v>16:9</v>
      </c>
      <c r="D11" s="8" t="str">
        <f t="shared" si="0"/>
        <v>16:9</v>
      </c>
      <c r="E11" s="8" t="str">
        <f t="shared" si="0"/>
        <v>16:9</v>
      </c>
      <c r="F11" s="4" t="str">
        <f t="shared" si="0"/>
        <v>16:9</v>
      </c>
      <c r="G11" s="8" t="str">
        <f t="shared" si="0"/>
        <v>16:9</v>
      </c>
      <c r="H11" s="8" t="str">
        <f t="shared" si="0"/>
        <v>16:9</v>
      </c>
      <c r="I11" s="8" t="str">
        <f t="shared" si="0"/>
        <v>16:9</v>
      </c>
      <c r="J11" s="8" t="str">
        <f t="shared" si="0"/>
        <v>16:9</v>
      </c>
    </row>
    <row r="12" spans="1:10" ht="21.75" customHeight="1">
      <c r="A12" s="9" t="s">
        <v>9</v>
      </c>
      <c r="B12" s="4" t="s">
        <v>15</v>
      </c>
      <c r="C12" s="4" t="s">
        <v>15</v>
      </c>
      <c r="D12" s="6" t="s">
        <v>29</v>
      </c>
      <c r="E12" s="4" t="s">
        <v>15</v>
      </c>
      <c r="F12" s="4" t="s">
        <v>15</v>
      </c>
      <c r="G12" s="4" t="s">
        <v>59</v>
      </c>
      <c r="H12" s="4" t="s">
        <v>59</v>
      </c>
      <c r="I12" s="4" t="s">
        <v>59</v>
      </c>
      <c r="J12" s="4" t="s">
        <v>80</v>
      </c>
    </row>
    <row r="13" spans="1:10" ht="21.75" customHeight="1">
      <c r="A13" s="9" t="s">
        <v>21</v>
      </c>
      <c r="B13" s="4" t="s">
        <v>22</v>
      </c>
      <c r="C13" s="4" t="s">
        <v>91</v>
      </c>
      <c r="D13" s="4" t="s">
        <v>22</v>
      </c>
      <c r="E13" s="4" t="s">
        <v>91</v>
      </c>
      <c r="F13" s="4" t="s">
        <v>22</v>
      </c>
      <c r="G13" s="4" t="s">
        <v>34</v>
      </c>
      <c r="H13" s="4" t="s">
        <v>34</v>
      </c>
      <c r="I13" s="4" t="s">
        <v>34</v>
      </c>
      <c r="J13" s="4" t="s">
        <v>34</v>
      </c>
    </row>
    <row r="14" spans="1:10" ht="21.75" customHeight="1">
      <c r="A14" s="9" t="s">
        <v>44</v>
      </c>
      <c r="B14" s="4" t="s">
        <v>82</v>
      </c>
      <c r="C14" s="4" t="s">
        <v>19</v>
      </c>
      <c r="D14" s="4" t="s">
        <v>82</v>
      </c>
      <c r="E14" s="4" t="s">
        <v>19</v>
      </c>
      <c r="F14" s="4" t="s">
        <v>106</v>
      </c>
      <c r="G14" s="4" t="s">
        <v>60</v>
      </c>
      <c r="H14" s="4" t="s">
        <v>60</v>
      </c>
      <c r="I14" s="4" t="s">
        <v>60</v>
      </c>
      <c r="J14" s="4" t="s">
        <v>82</v>
      </c>
    </row>
    <row r="15" spans="1:10" ht="21.75" customHeight="1">
      <c r="A15" s="9" t="s">
        <v>45</v>
      </c>
      <c r="B15" s="19" t="str">
        <f>"1000:1"</f>
        <v>1000:1</v>
      </c>
      <c r="C15" s="4" t="s">
        <v>92</v>
      </c>
      <c r="D15" s="19" t="str">
        <f>"1000:1"</f>
        <v>1000:1</v>
      </c>
      <c r="E15" s="4" t="s">
        <v>92</v>
      </c>
      <c r="F15" s="19" t="str">
        <f>"1000:1"</f>
        <v>1000:1</v>
      </c>
      <c r="G15" s="19" t="str">
        <f>"1000:1"</f>
        <v>1000:1</v>
      </c>
      <c r="H15" s="19" t="str">
        <f>"1000:1"</f>
        <v>1000:1</v>
      </c>
      <c r="I15" s="19" t="str">
        <f>"1000:1"</f>
        <v>1000:1</v>
      </c>
      <c r="J15" s="19" t="str">
        <f>"1000:1"</f>
        <v>1000:1</v>
      </c>
    </row>
    <row r="16" spans="1:10" ht="21.75" customHeight="1">
      <c r="A16" s="9" t="s">
        <v>46</v>
      </c>
      <c r="B16" s="4" t="s">
        <v>93</v>
      </c>
      <c r="C16" s="4" t="s">
        <v>93</v>
      </c>
      <c r="D16" s="4" t="s">
        <v>98</v>
      </c>
      <c r="E16" s="4" t="s">
        <v>103</v>
      </c>
      <c r="F16" s="4" t="s">
        <v>107</v>
      </c>
      <c r="G16" s="4" t="s">
        <v>61</v>
      </c>
      <c r="H16" s="4" t="s">
        <v>61</v>
      </c>
      <c r="I16" s="4" t="s">
        <v>61</v>
      </c>
      <c r="J16" s="4" t="s">
        <v>61</v>
      </c>
    </row>
    <row r="17" spans="1:10" ht="21.75" customHeight="1">
      <c r="A17" s="9" t="s">
        <v>47</v>
      </c>
      <c r="B17" s="16" t="s">
        <v>62</v>
      </c>
      <c r="C17" s="4" t="s">
        <v>83</v>
      </c>
      <c r="D17" s="16" t="s">
        <v>99</v>
      </c>
      <c r="E17" s="4" t="s">
        <v>83</v>
      </c>
      <c r="F17" s="4" t="s">
        <v>83</v>
      </c>
      <c r="G17" s="16" t="s">
        <v>62</v>
      </c>
      <c r="H17" s="16" t="s">
        <v>62</v>
      </c>
      <c r="I17" s="16" t="s">
        <v>75</v>
      </c>
      <c r="J17" s="4" t="s">
        <v>83</v>
      </c>
    </row>
    <row r="18" spans="1:10" ht="21.75" customHeight="1">
      <c r="A18" s="9" t="s">
        <v>49</v>
      </c>
      <c r="B18" s="4" t="s">
        <v>63</v>
      </c>
      <c r="C18" s="4" t="s">
        <v>63</v>
      </c>
      <c r="D18" s="4" t="s">
        <v>63</v>
      </c>
      <c r="E18" s="4" t="s">
        <v>63</v>
      </c>
      <c r="F18" s="4" t="s">
        <v>108</v>
      </c>
      <c r="G18" s="4" t="s">
        <v>63</v>
      </c>
      <c r="H18" s="4" t="s">
        <v>63</v>
      </c>
      <c r="I18" s="4" t="s">
        <v>63</v>
      </c>
      <c r="J18" s="4" t="s">
        <v>63</v>
      </c>
    </row>
    <row r="19" spans="1:10" ht="21.75" customHeight="1">
      <c r="A19" s="9" t="s">
        <v>50</v>
      </c>
      <c r="B19" s="4" t="s">
        <v>63</v>
      </c>
      <c r="C19" s="4" t="s">
        <v>63</v>
      </c>
      <c r="D19" s="4" t="s">
        <v>63</v>
      </c>
      <c r="E19" s="4" t="s">
        <v>63</v>
      </c>
      <c r="F19" s="4" t="s">
        <v>63</v>
      </c>
      <c r="G19" s="4" t="s">
        <v>63</v>
      </c>
      <c r="H19" s="4" t="s">
        <v>63</v>
      </c>
      <c r="I19" s="4" t="s">
        <v>63</v>
      </c>
      <c r="J19" s="4" t="s">
        <v>63</v>
      </c>
    </row>
    <row r="20" spans="1:10" ht="21.75" customHeight="1">
      <c r="A20" s="9" t="s">
        <v>51</v>
      </c>
      <c r="B20" s="4" t="s">
        <v>88</v>
      </c>
      <c r="C20" s="4" t="s">
        <v>94</v>
      </c>
      <c r="D20" s="4" t="s">
        <v>100</v>
      </c>
      <c r="E20" s="4" t="s">
        <v>104</v>
      </c>
      <c r="F20" s="4" t="s">
        <v>109</v>
      </c>
      <c r="G20" s="7" t="str">
        <f>"3.6"</f>
        <v>3.6</v>
      </c>
      <c r="H20" s="7" t="str">
        <f>"2.8"</f>
        <v>2.8</v>
      </c>
      <c r="I20" s="4" t="str">
        <f>"3.9"</f>
        <v>3.9</v>
      </c>
      <c r="J20" s="4" t="str">
        <f>"5.3"</f>
        <v>5.3</v>
      </c>
    </row>
    <row r="21" spans="1:10" ht="21.75" customHeight="1">
      <c r="A21" s="9" t="s">
        <v>52</v>
      </c>
      <c r="B21" s="4" t="s">
        <v>89</v>
      </c>
      <c r="C21" s="4" t="s">
        <v>95</v>
      </c>
      <c r="D21" s="4" t="s">
        <v>101</v>
      </c>
      <c r="E21" s="4" t="s">
        <v>105</v>
      </c>
      <c r="F21" s="4" t="s">
        <v>110</v>
      </c>
      <c r="G21" s="4" t="str">
        <f>"5.3"</f>
        <v>5.3</v>
      </c>
      <c r="H21" s="4" t="str">
        <f>"4.5"</f>
        <v>4.5</v>
      </c>
      <c r="I21" s="4" t="str">
        <f>"6"</f>
        <v>6</v>
      </c>
      <c r="J21" s="4" t="str">
        <f>"7.8"</f>
        <v>7.8</v>
      </c>
    </row>
    <row r="22" spans="1:10" ht="21.75" customHeight="1" thickBot="1">
      <c r="A22" s="20" t="s">
        <v>53</v>
      </c>
      <c r="B22" s="21" t="s">
        <v>90</v>
      </c>
      <c r="C22" s="21" t="s">
        <v>96</v>
      </c>
      <c r="D22" s="21" t="s">
        <v>90</v>
      </c>
      <c r="E22" s="21" t="s">
        <v>96</v>
      </c>
      <c r="F22" s="21" t="s">
        <v>90</v>
      </c>
      <c r="G22" s="22" t="s">
        <v>64</v>
      </c>
      <c r="H22" s="22" t="s">
        <v>68</v>
      </c>
      <c r="I22" s="22" t="s">
        <v>74</v>
      </c>
      <c r="J22" s="22" t="s">
        <v>84</v>
      </c>
    </row>
    <row r="23" spans="1:10" ht="30" customHeight="1" thickBot="1">
      <c r="A23" s="30" t="s">
        <v>39</v>
      </c>
      <c r="B23" s="31" cm="1">
        <f t="array" ref="B23">ColorCounter(B2:B22)</f>
        <v>36</v>
      </c>
      <c r="C23" s="31" cm="1">
        <f t="array" ref="C23">ColorCounter(C2:C22)</f>
        <v>37</v>
      </c>
      <c r="D23" s="32" cm="1">
        <f t="array" ref="D23">ColorCounter(D2:D22)</f>
        <v>34</v>
      </c>
      <c r="E23" s="29" cm="1">
        <f t="array" ref="E23">ColorCounter(E2:E22)</f>
        <v>38</v>
      </c>
      <c r="F23" s="32" cm="1">
        <f t="array" ref="F23">ColorCounter(F2:F22)</f>
        <v>34</v>
      </c>
      <c r="G23" s="32" cm="1">
        <f t="array" ref="G23">ColorCounter(G2:G22)</f>
        <v>34</v>
      </c>
      <c r="H23" s="32" cm="1">
        <f t="array" ref="H23">ColorCounter(H2:H22)</f>
        <v>33</v>
      </c>
      <c r="I23" s="32" cm="1">
        <f t="array" ref="I23">ColorCounter(I2:I22)</f>
        <v>33</v>
      </c>
      <c r="J23" s="29" cm="1">
        <f t="array" ref="J23">ColorCounter(J2:J22)</f>
        <v>38</v>
      </c>
    </row>
    <row r="24" spans="1:10" ht="30" customHeight="1" thickBot="1"/>
    <row r="25" spans="1:10" ht="15" customHeight="1">
      <c r="A25" s="23" t="s">
        <v>40</v>
      </c>
      <c r="B25" s="24"/>
      <c r="C25" s="23" t="s">
        <v>42</v>
      </c>
      <c r="D25" s="24"/>
      <c r="E25" s="23" t="s">
        <v>41</v>
      </c>
      <c r="F25" s="24"/>
      <c r="G25" s="23" t="s">
        <v>43</v>
      </c>
      <c r="H25" s="24"/>
    </row>
    <row r="26" spans="1:10" ht="15" customHeight="1">
      <c r="A26" s="25"/>
      <c r="B26" s="26"/>
      <c r="C26" s="25"/>
      <c r="D26" s="26"/>
      <c r="E26" s="25"/>
      <c r="F26" s="26"/>
      <c r="G26" s="25"/>
      <c r="H26" s="26"/>
    </row>
    <row r="27" spans="1:10" ht="15" customHeight="1">
      <c r="A27" s="25"/>
      <c r="B27" s="26"/>
      <c r="C27" s="25"/>
      <c r="D27" s="26"/>
      <c r="E27" s="25"/>
      <c r="F27" s="26"/>
      <c r="G27" s="25"/>
      <c r="H27" s="26"/>
    </row>
    <row r="28" spans="1:10" ht="15" customHeight="1">
      <c r="A28" s="25"/>
      <c r="B28" s="26"/>
      <c r="C28" s="25"/>
      <c r="D28" s="26"/>
      <c r="E28" s="25"/>
      <c r="F28" s="26"/>
      <c r="G28" s="25"/>
      <c r="H28" s="26"/>
    </row>
    <row r="29" spans="1:10" ht="15" customHeight="1">
      <c r="A29" s="25"/>
      <c r="B29" s="26"/>
      <c r="C29" s="25"/>
      <c r="D29" s="26"/>
      <c r="E29" s="25"/>
      <c r="F29" s="26"/>
      <c r="G29" s="25"/>
      <c r="H29" s="26"/>
    </row>
    <row r="30" spans="1:10" ht="15" customHeight="1">
      <c r="A30" s="25"/>
      <c r="B30" s="26"/>
      <c r="C30" s="25"/>
      <c r="D30" s="26"/>
      <c r="E30" s="25"/>
      <c r="F30" s="26"/>
      <c r="G30" s="25"/>
      <c r="H30" s="26"/>
    </row>
    <row r="31" spans="1:10" ht="15" customHeight="1">
      <c r="A31" s="25"/>
      <c r="B31" s="26"/>
      <c r="C31" s="25"/>
      <c r="D31" s="26"/>
      <c r="E31" s="25"/>
      <c r="F31" s="26"/>
      <c r="G31" s="25"/>
      <c r="H31" s="26"/>
    </row>
    <row r="32" spans="1:10" ht="15" customHeight="1">
      <c r="A32" s="25"/>
      <c r="B32" s="26"/>
      <c r="C32" s="25"/>
      <c r="D32" s="26"/>
      <c r="E32" s="25"/>
      <c r="F32" s="26"/>
      <c r="G32" s="25"/>
      <c r="H32" s="26"/>
    </row>
    <row r="33" spans="1:8" ht="15" customHeight="1">
      <c r="A33" s="25"/>
      <c r="B33" s="26"/>
      <c r="C33" s="25"/>
      <c r="D33" s="26"/>
      <c r="E33" s="25"/>
      <c r="F33" s="26"/>
      <c r="G33" s="25"/>
      <c r="H33" s="26"/>
    </row>
    <row r="34" spans="1:8" ht="15" customHeight="1">
      <c r="A34" s="25"/>
      <c r="B34" s="26"/>
      <c r="C34" s="25"/>
      <c r="D34" s="26"/>
      <c r="E34" s="25"/>
      <c r="F34" s="26"/>
      <c r="G34" s="25"/>
      <c r="H34" s="26"/>
    </row>
    <row r="35" spans="1:8" ht="15" customHeight="1">
      <c r="A35" s="25"/>
      <c r="B35" s="26"/>
      <c r="C35" s="25"/>
      <c r="D35" s="26"/>
      <c r="E35" s="25"/>
      <c r="F35" s="26"/>
      <c r="G35" s="25"/>
      <c r="H35" s="26"/>
    </row>
    <row r="36" spans="1:8" ht="15" customHeight="1">
      <c r="A36" s="25"/>
      <c r="B36" s="26"/>
      <c r="C36" s="25"/>
      <c r="D36" s="26"/>
      <c r="E36" s="25"/>
      <c r="F36" s="26"/>
      <c r="G36" s="25"/>
      <c r="H36" s="26"/>
    </row>
    <row r="37" spans="1:8" ht="15.75" customHeight="1">
      <c r="A37" s="25"/>
      <c r="B37" s="26"/>
      <c r="C37" s="25"/>
      <c r="D37" s="26"/>
      <c r="E37" s="25"/>
      <c r="F37" s="26"/>
      <c r="G37" s="25"/>
      <c r="H37" s="26"/>
    </row>
    <row r="38" spans="1:8">
      <c r="A38" s="25"/>
      <c r="B38" s="26"/>
      <c r="C38" s="25"/>
      <c r="D38" s="26"/>
      <c r="E38" s="25"/>
      <c r="F38" s="26"/>
      <c r="G38" s="25"/>
      <c r="H38" s="26"/>
    </row>
    <row r="39" spans="1:8">
      <c r="A39" s="25"/>
      <c r="B39" s="26"/>
      <c r="C39" s="25"/>
      <c r="D39" s="26"/>
      <c r="E39" s="25"/>
      <c r="F39" s="26"/>
      <c r="G39" s="25"/>
      <c r="H39" s="26"/>
    </row>
    <row r="40" spans="1:8">
      <c r="A40" s="25"/>
      <c r="B40" s="26"/>
      <c r="C40" s="25"/>
      <c r="D40" s="26"/>
      <c r="E40" s="25"/>
      <c r="F40" s="26"/>
      <c r="G40" s="25"/>
      <c r="H40" s="26"/>
    </row>
    <row r="41" spans="1:8">
      <c r="A41" s="25"/>
      <c r="B41" s="26"/>
      <c r="C41" s="25"/>
      <c r="D41" s="26"/>
      <c r="E41" s="25"/>
      <c r="F41" s="26"/>
      <c r="G41" s="25"/>
      <c r="H41" s="26"/>
    </row>
    <row r="42" spans="1:8">
      <c r="A42" s="25"/>
      <c r="B42" s="26"/>
      <c r="C42" s="25"/>
      <c r="D42" s="26"/>
      <c r="E42" s="25"/>
      <c r="F42" s="26"/>
      <c r="G42" s="25"/>
      <c r="H42" s="26"/>
    </row>
    <row r="43" spans="1:8">
      <c r="A43" s="25"/>
      <c r="B43" s="26"/>
      <c r="C43" s="25"/>
      <c r="D43" s="26"/>
      <c r="E43" s="25"/>
      <c r="F43" s="26"/>
      <c r="G43" s="25"/>
      <c r="H43" s="26"/>
    </row>
    <row r="44" spans="1:8">
      <c r="A44" s="25"/>
      <c r="B44" s="26"/>
      <c r="C44" s="25"/>
      <c r="D44" s="26"/>
      <c r="E44" s="25"/>
      <c r="F44" s="26"/>
      <c r="G44" s="25"/>
      <c r="H44" s="26"/>
    </row>
    <row r="45" spans="1:8" ht="15.75" thickBot="1">
      <c r="A45" s="27"/>
      <c r="B45" s="28"/>
      <c r="C45" s="27"/>
      <c r="D45" s="28"/>
      <c r="E45" s="27"/>
      <c r="F45" s="28"/>
      <c r="G45" s="27"/>
      <c r="H45" s="28"/>
    </row>
    <row r="47" spans="1:8" ht="18.75">
      <c r="A47" s="12"/>
      <c r="B47" s="13">
        <v>2</v>
      </c>
      <c r="C47" s="33" cm="1">
        <f t="array" ref="C47">GetCellColor(A47)</f>
        <v>5287936</v>
      </c>
    </row>
    <row r="48" spans="1:8" ht="18.75">
      <c r="A48" s="17"/>
      <c r="B48" s="11">
        <v>1</v>
      </c>
      <c r="C48" s="33" cm="1">
        <f t="array" ref="C48">GetCellColor(A48)</f>
        <v>5296274</v>
      </c>
    </row>
    <row r="49" spans="1:3" ht="18.75">
      <c r="A49" s="14"/>
      <c r="B49" s="13">
        <v>0</v>
      </c>
      <c r="C49" s="33" cm="1">
        <f t="array" ref="C49">GetCellColor(A49)</f>
        <v>3243501</v>
      </c>
    </row>
    <row r="50" spans="1:3" ht="18.75">
      <c r="A50" s="15"/>
      <c r="B50" s="11">
        <v>-1</v>
      </c>
      <c r="C50" s="33" cm="1">
        <f t="array" ref="C50">GetCellColor(A50)</f>
        <v>255</v>
      </c>
    </row>
  </sheetData>
  <mergeCells count="4">
    <mergeCell ref="A25:B45"/>
    <mergeCell ref="C25:D45"/>
    <mergeCell ref="E25:F45"/>
    <mergeCell ref="G25:H45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Arise</cp:lastModifiedBy>
  <dcterms:created xsi:type="dcterms:W3CDTF">2025-09-20T05:46:30Z</dcterms:created>
  <dcterms:modified xsi:type="dcterms:W3CDTF">2025-09-25T14:01:12Z</dcterms:modified>
</cp:coreProperties>
</file>