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rise\Desktop\"/>
    </mc:Choice>
  </mc:AlternateContent>
  <xr:revisionPtr revIDLastSave="0" documentId="13_ncr:1_{D12BDCE0-F3FC-4E04-A65C-F6A0F61C216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13" i="1" l="1"/>
  <c r="E8" i="1"/>
  <c r="C8" i="1"/>
  <c r="B8" i="1"/>
  <c r="B14" i="1" a="1"/>
  <c r="C14" i="1" a="1"/>
  <c r="D14" i="1" a="1"/>
  <c r="E14" i="1" a="1"/>
  <c r="J16" i="1" a="1"/>
  <c r="J17" i="1" a="1"/>
  <c r="J18" i="1" a="1"/>
  <c r="J15" i="1" a="1"/>
  <c r="H14" i="1" a="1"/>
  <c r="G14" i="1" a="1"/>
  <c r="F14" i="1" a="1"/>
  <c r="H14" i="1" l="1"/>
  <c r="B14" i="1"/>
  <c r="E14" i="1"/>
  <c r="F14" i="1"/>
  <c r="D14" i="1"/>
  <c r="G14" i="1"/>
  <c r="C14" i="1"/>
  <c r="J18" i="1"/>
  <c r="J17" i="1"/>
  <c r="J16" i="1"/>
  <c r="J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<sst xmlns="http://schemas.openxmlformats.org/spreadsheetml/2006/main" count="105" uniqueCount="74">
  <si>
    <t>Название</t>
  </si>
  <si>
    <t>Цена</t>
  </si>
  <si>
    <t>Частота</t>
  </si>
  <si>
    <t>Формат</t>
  </si>
  <si>
    <t>Комплектация</t>
  </si>
  <si>
    <t>Время отклика</t>
  </si>
  <si>
    <t>Hot-swap</t>
  </si>
  <si>
    <t>Гарантия</t>
  </si>
  <si>
    <t>Поддержка</t>
  </si>
  <si>
    <t>Корпус</t>
  </si>
  <si>
    <t>Attack Shark x68 HE</t>
  </si>
  <si>
    <t>DrunkDeer G75</t>
  </si>
  <si>
    <t>Attack Shark X68HE MAX</t>
  </si>
  <si>
    <t>3000 руб</t>
  </si>
  <si>
    <t>8000 Гц</t>
  </si>
  <si>
    <t>TKL 60%</t>
  </si>
  <si>
    <t xml:space="preserve">1 год </t>
  </si>
  <si>
    <t>Клавиатура
Пуллер 2 в 1 
Руководство 
USB Type C кабель</t>
  </si>
  <si>
    <t>0,125 мс</t>
  </si>
  <si>
    <t>Адаптивная активация</t>
  </si>
  <si>
    <t>от 0.1 до 3.4 мм</t>
  </si>
  <si>
    <t>Материал кейкапов</t>
  </si>
  <si>
    <t>Double-Shot PBT</t>
  </si>
  <si>
    <t>4800 руб</t>
  </si>
  <si>
    <t>14 дней</t>
  </si>
  <si>
    <t xml:space="preserve">Сила нажатия </t>
  </si>
  <si>
    <t xml:space="preserve">40 грамм </t>
  </si>
  <si>
    <t>Пластик + алюминий</t>
  </si>
  <si>
    <t xml:space="preserve">14 дней </t>
  </si>
  <si>
    <t xml:space="preserve">Attack Shark X68HE PRO
Радиоканал </t>
  </si>
  <si>
    <t>6400 руб</t>
  </si>
  <si>
    <t>+</t>
  </si>
  <si>
    <t>Алюминиевый</t>
  </si>
  <si>
    <t xml:space="preserve">0,08 мс </t>
  </si>
  <si>
    <t xml:space="preserve">45 грамм </t>
  </si>
  <si>
    <t>5900 руб</t>
  </si>
  <si>
    <t>Rapid Trigger
Release Duel Trigger
Lasr win</t>
  </si>
  <si>
    <t>от 0.1 до 3.8 мм</t>
  </si>
  <si>
    <t xml:space="preserve">30 грамм </t>
  </si>
  <si>
    <t xml:space="preserve">Пластик </t>
  </si>
  <si>
    <t>PBT</t>
  </si>
  <si>
    <t xml:space="preserve">Клавиатура  
USB Type-C 
Краткое руководство пользователя </t>
  </si>
  <si>
    <t>0,2 мс</t>
  </si>
  <si>
    <t>Rapid Trigger
Snap Tap
DKS
Mod-Tap 
Toggle Key</t>
  </si>
  <si>
    <t>Rapid Trigger
Snap Tap
DKS
MT 
TGL</t>
  </si>
  <si>
    <r>
      <rPr>
        <b/>
        <sz val="12"/>
        <color theme="1"/>
        <rFont val="Times New Roman"/>
        <family val="1"/>
        <charset val="204"/>
      </rPr>
      <t>Rapid Trigger</t>
    </r>
    <r>
      <rPr>
        <sz val="12"/>
        <color theme="1"/>
        <rFont val="Times New Roman"/>
        <family val="1"/>
        <charset val="204"/>
      </rPr>
      <t xml:space="preserve">
Rapid Trigger — это технология мгновенного сброса клавиш, которая позволяет клавише сбрасываться сразу при начале движения вверх, а не при достижении фиксированной точки. Клавиша активируется при нажатии и мгновенно деактивируется при отпускании, что обеспечивает скорость повторных нажатий в 10 раз быстрее обычных механических клавиатур. Особенно полезна в FPS-играх для быстрой остановки персонажа и повышения точности стрельбы.
</t>
    </r>
    <r>
      <rPr>
        <b/>
        <sz val="12"/>
        <color theme="1"/>
        <rFont val="Times New Roman"/>
        <family val="1"/>
        <charset val="204"/>
      </rPr>
      <t>Snap Tap (SOCD)</t>
    </r>
    <r>
      <rPr>
        <sz val="12"/>
        <color theme="1"/>
        <rFont val="Times New Roman"/>
        <family val="1"/>
        <charset val="204"/>
      </rPr>
      <t xml:space="preserve">
Snap Tap или SOCD (Simultaneous Opposing Cardinal Directions) — это функция, которая приоритизирует последнее нажатие клавиши при одновременном нажатии противоположных направлений. Например, если зажать клавишу влево, а затем вправо не отпуская первую, клавиатура будет выполнять движение вправо. Это позволяет мгновенно менять направление движения без необходимости отпускать предыдущую клавишу.
</t>
    </r>
    <r>
      <rPr>
        <b/>
        <sz val="12"/>
        <color theme="1"/>
        <rFont val="Times New Roman"/>
        <family val="1"/>
        <charset val="204"/>
      </rPr>
      <t>DKS (Dynamic Keystroke)</t>
    </r>
    <r>
      <rPr>
        <sz val="12"/>
        <color theme="1"/>
        <rFont val="Times New Roman"/>
        <family val="1"/>
        <charset val="204"/>
      </rPr>
      <t xml:space="preserve">
DKS позволяет назначить до 4 различных действий на одну клавишу в зависимости от глубины нажатия. Четыре точки срабатывания: начальное нажатие (0.7 мм), полное нажатие (3.5 мм), начало отпускания (3.5 мм) и полное отпускание (0.7 мм). В играх это позволяет имитировать разные скорости движения — например, легкое нажатие для медленной ходьбы, полное для бега.
</t>
    </r>
    <r>
      <rPr>
        <b/>
        <sz val="12"/>
        <color theme="1"/>
        <rFont val="Times New Roman"/>
        <family val="1"/>
        <charset val="204"/>
      </rPr>
      <t>Mod-Tap</t>
    </r>
    <r>
      <rPr>
        <sz val="12"/>
        <color theme="1"/>
        <rFont val="Times New Roman"/>
        <family val="1"/>
        <charset val="204"/>
      </rPr>
      <t xml:space="preserve">
Mod-Tap — это функция QMK прошивки, при которой клавиша работает как модификатор (Ctrl, Shift, Alt) при удержании и как обычная клавиша при кратком нажатии. Например, клавиша может отправлять Escape при нажатии, но функционировать как Control при удержании. Это позволяет экономить место на клавиатуре, объединяя функции.
</t>
    </r>
    <r>
      <rPr>
        <b/>
        <sz val="12"/>
        <color theme="1"/>
        <rFont val="Times New Roman"/>
        <family val="1"/>
        <charset val="204"/>
      </rPr>
      <t>Toggle Key</t>
    </r>
    <r>
      <rPr>
        <sz val="12"/>
        <color theme="1"/>
        <rFont val="Times New Roman"/>
        <family val="1"/>
        <charset val="204"/>
      </rPr>
      <t xml:space="preserve">
Toggle Key превращает клавишу в переключатель между двумя режимами. При нажатии может либо постоянно удерживать клавишу/функцию, либо активировать автоматические многократные нажатия с заданной частотой. Классические примеры — Caps Lock, Num Lock, Scroll Lock, которые переключают режимы ввода.
</t>
    </r>
    <r>
      <rPr>
        <b/>
        <sz val="12"/>
        <color theme="1"/>
        <rFont val="Times New Roman"/>
        <family val="1"/>
        <charset val="204"/>
      </rPr>
      <t>Release Duel Trigger</t>
    </r>
    <r>
      <rPr>
        <sz val="12"/>
        <color theme="1"/>
        <rFont val="Times New Roman"/>
        <family val="1"/>
        <charset val="204"/>
      </rPr>
      <t xml:space="preserve">
Release Duel Trigger — уникальная функция DrunkDeer, которая позволяет назначить действие не только на нажатие клавиши, но и на ее отпускание. Например, при нажатии A персонаж идет влево, а при отпускании автоматически активируется движение вправо без необходимости нажимать D. Особенно полезна в Apex Legends для комбинации прыжок+присесть.
</t>
    </r>
    <r>
      <rPr>
        <b/>
        <sz val="12"/>
        <color theme="1"/>
        <rFont val="Times New Roman"/>
        <family val="1"/>
        <charset val="204"/>
      </rPr>
      <t>Last Win</t>
    </r>
    <r>
      <rPr>
        <sz val="12"/>
        <color theme="1"/>
        <rFont val="Times New Roman"/>
        <family val="1"/>
        <charset val="204"/>
      </rPr>
      <t xml:space="preserve">
Last Win — это реализация SOCD технологии в клавиатурах DrunkDeer, аналогичная Snap Tap. Функция отдает приоритет последней нажатой клавише при конфликте противоположных направлений, обеспечивая мгновенную смену направления движения в играх.</t>
    </r>
  </si>
  <si>
    <t>Худшее</t>
  </si>
  <si>
    <t>Лучшее</t>
  </si>
  <si>
    <t>2 место</t>
  </si>
  <si>
    <t>3 место</t>
  </si>
  <si>
    <t>Wlmouse Ying63</t>
  </si>
  <si>
    <t>28 000 руб</t>
  </si>
  <si>
    <t>Кованный углерод</t>
  </si>
  <si>
    <t>от 0.01 до 3.5 мм</t>
  </si>
  <si>
    <t>0.125 мс</t>
  </si>
  <si>
    <t>Клавиатура
Провод для подключения
Футляр для хранения 
Идентификационная карточка
Кисточка для пыли
Съемник вала DIY keycaps
Дополнительный вал</t>
  </si>
  <si>
    <t>30 грамм</t>
  </si>
  <si>
    <t>Double-Shot ABS</t>
  </si>
  <si>
    <t>TKL 65%</t>
  </si>
  <si>
    <t>Wooting 60HE</t>
  </si>
  <si>
    <t>Металл</t>
  </si>
  <si>
    <t>23 300 руб</t>
  </si>
  <si>
    <t xml:space="preserve">1000 Гц </t>
  </si>
  <si>
    <t>Стальная пластина
Переключатели Lekker Linear60 с предварительной смазкой
PBT-кейкапы ANSI (US-English)
ABS-корпус
USB-C кабель
Ремешок Wooting
Съемник кейкапов
Пенные прокладки EPDM и Poron</t>
  </si>
  <si>
    <t>1 мс</t>
  </si>
  <si>
    <r>
      <rPr>
        <sz val="12"/>
        <color theme="1"/>
        <rFont val="Times New Roman"/>
        <family val="1"/>
        <charset val="204"/>
      </rPr>
      <t>от </t>
    </r>
    <r>
      <rPr>
        <sz val="12"/>
        <color theme="1"/>
        <rFont val="Times New Roman"/>
        <family val="1"/>
        <charset val="204"/>
      </rPr>
      <t>0,1 до 4,0 мм</t>
    </r>
  </si>
  <si>
    <t>Итоговая оценка</t>
  </si>
  <si>
    <t>Клавиатура*1
Стягиватель клавиш*1
Кабель для передачи данных*1
Запасные переключатели*2
Шестигранный ключ*1
Декоративная лента*1</t>
  </si>
  <si>
    <t>SKYLOONG GK68HE</t>
  </si>
  <si>
    <t>5000 руб</t>
  </si>
  <si>
    <t>6 месяцев</t>
  </si>
  <si>
    <t>Алюминий</t>
  </si>
  <si>
    <t>от 0.1мм до 3.5мм</t>
  </si>
  <si>
    <t>Dynamic Keystroke
Rapid Trigger
SOCD/Snap Tap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</si>
</sst>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2"/>
      <color rgb="FF070707"/>
      <name val="Times New Roman"/>
      <family val="1"/>
      <charset val="204"/>
    </font>
    <font>
      <sz val="12"/>
      <color rgb="FF001A34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1" xfId="0" applyFont="1" applyBorder="1"/>
    <xf numFmtId="0" fontId="1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9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1" fillId="4" borderId="1" xfId="0" applyFont="1" applyFill="1" applyBorder="1"/>
    <xf numFmtId="0" fontId="2" fillId="5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/>
    </xf>
    <xf numFmtId="0" fontId="1" fillId="7" borderId="1" xfId="0" applyFont="1" applyFill="1" applyBorder="1"/>
    <xf numFmtId="0" fontId="1" fillId="6" borderId="1" xfId="0" applyFont="1" applyFill="1" applyBorder="1"/>
    <xf numFmtId="0" fontId="1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6" borderId="1" xfId="0" applyFont="1" applyFill="1" applyBorder="1" applyAlignment="1">
      <alignment horizontal="center" vertical="center" wrapText="1"/>
    </xf>
    <xf numFmtId="0" fontId="1" fillId="3" borderId="10" xfId="0" applyFont="1" applyFill="1" applyBorder="1"/>
    <xf numFmtId="0" fontId="1" fillId="0" borderId="11" xfId="0" applyFont="1" applyBorder="1" applyAlignment="1">
      <alignment vertical="center"/>
    </xf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0" fontId="1" fillId="2" borderId="15" xfId="0" applyFon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left" vertical="top" wrapText="1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J50"/>
  <sheetViews>
    <sheetView tabSelected="1" workbookViewId="0">
      <selection activeCell="K11" sqref="K11"/>
    </sheetView>
  </sheetViews>
  <sheetFormatPr defaultRowHeight="15" x14ac:dyDescent="0.25"/>
  <cols>
    <col min="1" max="1" width="25.140625" customWidth="1"/>
    <col min="2" max="2" width="21.7109375" customWidth="1"/>
    <col min="3" max="3" width="26.85546875" customWidth="1"/>
    <col min="4" max="4" width="25" customWidth="1"/>
    <col min="5" max="5" width="28.140625" customWidth="1"/>
    <col min="6" max="6" width="26.42578125" customWidth="1"/>
    <col min="7" max="7" width="28.5703125" customWidth="1"/>
    <col min="8" max="8" width="27.42578125" customWidth="1"/>
  </cols>
  <sheetData>
    <row r="1" spans="1:10" ht="30.75" customHeight="1" x14ac:dyDescent="0.25">
      <c r="A1" s="2" t="s">
        <v>0</v>
      </c>
      <c r="B1" s="8" t="s">
        <v>10</v>
      </c>
      <c r="C1" s="11" t="s">
        <v>29</v>
      </c>
      <c r="D1" s="8" t="s">
        <v>12</v>
      </c>
      <c r="E1" s="8" t="s">
        <v>11</v>
      </c>
      <c r="F1" s="8" t="s">
        <v>50</v>
      </c>
      <c r="G1" s="8" t="s">
        <v>59</v>
      </c>
      <c r="H1" s="8" t="s">
        <v>68</v>
      </c>
    </row>
    <row r="2" spans="1:10" ht="15.75" x14ac:dyDescent="0.25">
      <c r="A2" s="2" t="s">
        <v>1</v>
      </c>
      <c r="B2" s="4" t="s">
        <v>13</v>
      </c>
      <c r="C2" s="17" t="s">
        <v>23</v>
      </c>
      <c r="D2" s="17" t="s">
        <v>30</v>
      </c>
      <c r="E2" s="17" t="s">
        <v>35</v>
      </c>
      <c r="F2" s="5" t="s">
        <v>51</v>
      </c>
      <c r="G2" s="13" t="s">
        <v>61</v>
      </c>
      <c r="H2" s="4" t="s">
        <v>69</v>
      </c>
    </row>
    <row r="3" spans="1:10" ht="15.75" x14ac:dyDescent="0.25">
      <c r="A3" s="2" t="s">
        <v>2</v>
      </c>
      <c r="B3" s="4" t="s">
        <v>14</v>
      </c>
      <c r="C3" s="4" t="s">
        <v>14</v>
      </c>
      <c r="D3" s="4" t="s">
        <v>14</v>
      </c>
      <c r="E3" s="4" t="s">
        <v>14</v>
      </c>
      <c r="F3" s="4" t="s">
        <v>14</v>
      </c>
      <c r="G3" s="5" t="s">
        <v>62</v>
      </c>
      <c r="H3" s="4" t="s">
        <v>14</v>
      </c>
    </row>
    <row r="4" spans="1:10" ht="15.75" x14ac:dyDescent="0.25">
      <c r="A4" s="2" t="s">
        <v>3</v>
      </c>
      <c r="B4" s="17" t="s">
        <v>15</v>
      </c>
      <c r="C4" s="17" t="s">
        <v>15</v>
      </c>
      <c r="D4" s="17" t="s">
        <v>15</v>
      </c>
      <c r="E4" s="6">
        <v>0.75</v>
      </c>
      <c r="F4" s="4" t="s">
        <v>58</v>
      </c>
      <c r="G4" s="17" t="s">
        <v>15</v>
      </c>
      <c r="H4" s="4" t="s">
        <v>58</v>
      </c>
    </row>
    <row r="5" spans="1:10" ht="189" x14ac:dyDescent="0.25">
      <c r="A5" s="2" t="s">
        <v>4</v>
      </c>
      <c r="B5" s="7" t="s">
        <v>17</v>
      </c>
      <c r="C5" s="7" t="s">
        <v>17</v>
      </c>
      <c r="D5" s="7" t="s">
        <v>17</v>
      </c>
      <c r="E5" s="7" t="s">
        <v>41</v>
      </c>
      <c r="F5" s="7" t="s">
        <v>55</v>
      </c>
      <c r="G5" s="7" t="s">
        <v>63</v>
      </c>
      <c r="H5" s="7" t="s">
        <v>67</v>
      </c>
    </row>
    <row r="6" spans="1:10" ht="78.75" x14ac:dyDescent="0.25">
      <c r="A6" s="2" t="s">
        <v>8</v>
      </c>
      <c r="B6" s="7" t="s">
        <v>44</v>
      </c>
      <c r="C6" s="7" t="s">
        <v>43</v>
      </c>
      <c r="D6" s="7" t="s">
        <v>43</v>
      </c>
      <c r="E6" s="7" t="s">
        <v>36</v>
      </c>
      <c r="F6" s="7" t="s">
        <v>43</v>
      </c>
      <c r="G6" s="7" t="s">
        <v>43</v>
      </c>
      <c r="H6" s="40" t="s">
        <v>73</v>
      </c>
    </row>
    <row r="7" spans="1:10" ht="15.75" x14ac:dyDescent="0.25">
      <c r="A7" s="2" t="s">
        <v>5</v>
      </c>
      <c r="B7" s="17" t="s">
        <v>18</v>
      </c>
      <c r="C7" s="17" t="s">
        <v>18</v>
      </c>
      <c r="D7" s="4" t="s">
        <v>33</v>
      </c>
      <c r="E7" s="13" t="s">
        <v>42</v>
      </c>
      <c r="F7" s="17" t="s">
        <v>54</v>
      </c>
      <c r="G7" s="5" t="s">
        <v>64</v>
      </c>
      <c r="H7" s="17" t="s">
        <v>54</v>
      </c>
    </row>
    <row r="8" spans="1:10" ht="15.75" x14ac:dyDescent="0.25">
      <c r="A8" s="2" t="s">
        <v>6</v>
      </c>
      <c r="B8" s="4" t="str">
        <f>"+"</f>
        <v>+</v>
      </c>
      <c r="C8" s="4" t="str">
        <f>"+"</f>
        <v>+</v>
      </c>
      <c r="D8" s="4" t="s">
        <v>31</v>
      </c>
      <c r="E8" s="4" t="str">
        <f>"+"</f>
        <v>+</v>
      </c>
      <c r="F8" s="4" t="s">
        <v>31</v>
      </c>
      <c r="G8" s="4" t="s">
        <v>31</v>
      </c>
      <c r="H8" s="4" t="s">
        <v>31</v>
      </c>
    </row>
    <row r="9" spans="1:10" ht="15.75" x14ac:dyDescent="0.25">
      <c r="A9" s="2" t="s">
        <v>7</v>
      </c>
      <c r="B9" s="5" t="s">
        <v>24</v>
      </c>
      <c r="C9" s="5" t="s">
        <v>28</v>
      </c>
      <c r="D9" s="5" t="s">
        <v>24</v>
      </c>
      <c r="E9" s="4" t="s">
        <v>16</v>
      </c>
      <c r="F9" s="4" t="s">
        <v>16</v>
      </c>
      <c r="G9" s="4" t="s">
        <v>16</v>
      </c>
      <c r="H9" s="17" t="s">
        <v>70</v>
      </c>
    </row>
    <row r="10" spans="1:10" ht="15.75" x14ac:dyDescent="0.25">
      <c r="A10" s="2" t="s">
        <v>9</v>
      </c>
      <c r="B10" s="13" t="s">
        <v>27</v>
      </c>
      <c r="C10" s="13" t="s">
        <v>27</v>
      </c>
      <c r="D10" s="4" t="s">
        <v>32</v>
      </c>
      <c r="E10" s="5" t="s">
        <v>39</v>
      </c>
      <c r="F10" s="4" t="s">
        <v>52</v>
      </c>
      <c r="G10" s="4" t="s">
        <v>60</v>
      </c>
      <c r="H10" s="4" t="s">
        <v>71</v>
      </c>
    </row>
    <row r="11" spans="1:10" ht="15.75" x14ac:dyDescent="0.25">
      <c r="A11" s="3" t="s">
        <v>19</v>
      </c>
      <c r="B11" s="18" t="s">
        <v>20</v>
      </c>
      <c r="C11" s="17" t="s">
        <v>20</v>
      </c>
      <c r="D11" s="17" t="s">
        <v>20</v>
      </c>
      <c r="E11" s="17" t="s">
        <v>37</v>
      </c>
      <c r="F11" s="4" t="s">
        <v>53</v>
      </c>
      <c r="G11" s="17" t="s">
        <v>65</v>
      </c>
      <c r="H11" s="41" t="s">
        <v>72</v>
      </c>
    </row>
    <row r="12" spans="1:10" ht="15.75" x14ac:dyDescent="0.25">
      <c r="A12" s="2" t="s">
        <v>21</v>
      </c>
      <c r="B12" s="9" t="s">
        <v>22</v>
      </c>
      <c r="C12" s="4" t="s">
        <v>22</v>
      </c>
      <c r="D12" s="4" t="s">
        <v>22</v>
      </c>
      <c r="E12" s="20" t="s">
        <v>40</v>
      </c>
      <c r="F12" s="19" t="s">
        <v>57</v>
      </c>
      <c r="G12" s="13" t="s">
        <v>40</v>
      </c>
      <c r="H12" s="13" t="s">
        <v>40</v>
      </c>
    </row>
    <row r="13" spans="1:10" ht="15.75" x14ac:dyDescent="0.25">
      <c r="A13" s="2" t="s">
        <v>25</v>
      </c>
      <c r="B13" s="27" t="s">
        <v>26</v>
      </c>
      <c r="C13" s="27" t="s">
        <v>26</v>
      </c>
      <c r="D13" s="28" t="s">
        <v>34</v>
      </c>
      <c r="E13" s="29" t="s">
        <v>38</v>
      </c>
      <c r="F13" s="29" t="s">
        <v>56</v>
      </c>
      <c r="G13" s="28" t="str">
        <f>"-"</f>
        <v>-</v>
      </c>
      <c r="H13" s="4" t="s">
        <v>56</v>
      </c>
    </row>
    <row r="14" spans="1:10" ht="16.5" thickBot="1" x14ac:dyDescent="0.3">
      <c r="A14" s="26" t="s">
        <v>66</v>
      </c>
      <c r="B14" s="22" cm="1">
        <f t="array" ref="B14">ColorCounter(B2:B13)</f>
        <v>15</v>
      </c>
      <c r="C14" s="22" cm="1">
        <f t="array" ref="C14">ColorCounter(C2:C13)</f>
        <v>14</v>
      </c>
      <c r="D14" s="22" cm="1">
        <f t="array" ref="D14">ColorCounter(D2:D13)</f>
        <v>16</v>
      </c>
      <c r="E14" s="22" cm="1">
        <f t="array" ref="E14">ColorCounter(E2:E13)</f>
        <v>15</v>
      </c>
      <c r="F14" s="12" cm="1">
        <f t="array" ref="F14">ColorCounter(F2:F13)</f>
        <v>17</v>
      </c>
      <c r="G14" s="12" cm="1">
        <f t="array" ref="G14">ColorCounter(G2:G13)</f>
        <v>10</v>
      </c>
      <c r="H14" s="39" cm="1">
        <f t="array" ref="H14">ColorCounter(H2:H13)</f>
        <v>19</v>
      </c>
    </row>
    <row r="15" spans="1:10" ht="15.75" x14ac:dyDescent="0.25">
      <c r="A15" s="30" t="s">
        <v>45</v>
      </c>
      <c r="B15" s="31"/>
      <c r="C15" s="31"/>
      <c r="D15" s="31"/>
      <c r="E15" s="32"/>
      <c r="G15" s="21"/>
      <c r="H15" s="1" t="s">
        <v>47</v>
      </c>
      <c r="I15" s="14">
        <v>2</v>
      </c>
      <c r="J15" s="23" cm="1">
        <f t="array" ref="J15">GetCellColor(G15)</f>
        <v>5287936</v>
      </c>
    </row>
    <row r="16" spans="1:10" ht="15.75" x14ac:dyDescent="0.25">
      <c r="A16" s="33"/>
      <c r="B16" s="34"/>
      <c r="C16" s="34"/>
      <c r="D16" s="34"/>
      <c r="E16" s="35"/>
      <c r="G16" s="15"/>
      <c r="H16" s="1" t="s">
        <v>48</v>
      </c>
      <c r="I16" s="14">
        <v>1</v>
      </c>
      <c r="J16" s="24" cm="1">
        <f t="array" ref="J16">GetCellColor(G16)</f>
        <v>5296274</v>
      </c>
    </row>
    <row r="17" spans="1:10" ht="15.75" x14ac:dyDescent="0.25">
      <c r="A17" s="33"/>
      <c r="B17" s="34"/>
      <c r="C17" s="34"/>
      <c r="D17" s="34"/>
      <c r="E17" s="35"/>
      <c r="G17" s="16"/>
      <c r="H17" s="1" t="s">
        <v>49</v>
      </c>
      <c r="I17" s="14">
        <v>0</v>
      </c>
      <c r="J17" s="24" cm="1">
        <f t="array" ref="J17">GetCellColor(G17)</f>
        <v>3243501</v>
      </c>
    </row>
    <row r="18" spans="1:10" ht="16.5" thickBot="1" x14ac:dyDescent="0.3">
      <c r="A18" s="33"/>
      <c r="B18" s="34"/>
      <c r="C18" s="34"/>
      <c r="D18" s="34"/>
      <c r="E18" s="35"/>
      <c r="G18" s="10"/>
      <c r="H18" s="1" t="s">
        <v>46</v>
      </c>
      <c r="I18" s="14">
        <v>-1</v>
      </c>
      <c r="J18" s="25" cm="1">
        <f t="array" ref="J18">GetCellColor(G18)</f>
        <v>255</v>
      </c>
    </row>
    <row r="19" spans="1:10" x14ac:dyDescent="0.25">
      <c r="A19" s="33"/>
      <c r="B19" s="34"/>
      <c r="C19" s="34"/>
      <c r="D19" s="34"/>
      <c r="E19" s="35"/>
    </row>
    <row r="20" spans="1:10" x14ac:dyDescent="0.25">
      <c r="A20" s="33"/>
      <c r="B20" s="34"/>
      <c r="C20" s="34"/>
      <c r="D20" s="34"/>
      <c r="E20" s="35"/>
    </row>
    <row r="21" spans="1:10" x14ac:dyDescent="0.25">
      <c r="A21" s="33"/>
      <c r="B21" s="34"/>
      <c r="C21" s="34"/>
      <c r="D21" s="34"/>
      <c r="E21" s="35"/>
    </row>
    <row r="22" spans="1:10" x14ac:dyDescent="0.25">
      <c r="A22" s="33"/>
      <c r="B22" s="34"/>
      <c r="C22" s="34"/>
      <c r="D22" s="34"/>
      <c r="E22" s="35"/>
    </row>
    <row r="23" spans="1:10" x14ac:dyDescent="0.25">
      <c r="A23" s="33"/>
      <c r="B23" s="34"/>
      <c r="C23" s="34"/>
      <c r="D23" s="34"/>
      <c r="E23" s="35"/>
    </row>
    <row r="24" spans="1:10" x14ac:dyDescent="0.25">
      <c r="A24" s="33"/>
      <c r="B24" s="34"/>
      <c r="C24" s="34"/>
      <c r="D24" s="34"/>
      <c r="E24" s="35"/>
    </row>
    <row r="25" spans="1:10" x14ac:dyDescent="0.25">
      <c r="A25" s="33"/>
      <c r="B25" s="34"/>
      <c r="C25" s="34"/>
      <c r="D25" s="34"/>
      <c r="E25" s="35"/>
    </row>
    <row r="26" spans="1:10" x14ac:dyDescent="0.25">
      <c r="A26" s="33"/>
      <c r="B26" s="34"/>
      <c r="C26" s="34"/>
      <c r="D26" s="34"/>
      <c r="E26" s="35"/>
    </row>
    <row r="27" spans="1:10" x14ac:dyDescent="0.25">
      <c r="A27" s="33"/>
      <c r="B27" s="34"/>
      <c r="C27" s="34"/>
      <c r="D27" s="34"/>
      <c r="E27" s="35"/>
    </row>
    <row r="28" spans="1:10" x14ac:dyDescent="0.25">
      <c r="A28" s="33"/>
      <c r="B28" s="34"/>
      <c r="C28" s="34"/>
      <c r="D28" s="34"/>
      <c r="E28" s="35"/>
    </row>
    <row r="29" spans="1:10" x14ac:dyDescent="0.25">
      <c r="A29" s="33"/>
      <c r="B29" s="34"/>
      <c r="C29" s="34"/>
      <c r="D29" s="34"/>
      <c r="E29" s="35"/>
    </row>
    <row r="30" spans="1:10" x14ac:dyDescent="0.25">
      <c r="A30" s="33"/>
      <c r="B30" s="34"/>
      <c r="C30" s="34"/>
      <c r="D30" s="34"/>
      <c r="E30" s="35"/>
    </row>
    <row r="31" spans="1:10" x14ac:dyDescent="0.25">
      <c r="A31" s="33"/>
      <c r="B31" s="34"/>
      <c r="C31" s="34"/>
      <c r="D31" s="34"/>
      <c r="E31" s="35"/>
    </row>
    <row r="32" spans="1:10" x14ac:dyDescent="0.25">
      <c r="A32" s="33"/>
      <c r="B32" s="34"/>
      <c r="C32" s="34"/>
      <c r="D32" s="34"/>
      <c r="E32" s="35"/>
    </row>
    <row r="33" spans="1:5" x14ac:dyDescent="0.25">
      <c r="A33" s="33"/>
      <c r="B33" s="34"/>
      <c r="C33" s="34"/>
      <c r="D33" s="34"/>
      <c r="E33" s="35"/>
    </row>
    <row r="34" spans="1:5" x14ac:dyDescent="0.25">
      <c r="A34" s="33"/>
      <c r="B34" s="34"/>
      <c r="C34" s="34"/>
      <c r="D34" s="34"/>
      <c r="E34" s="35"/>
    </row>
    <row r="35" spans="1:5" x14ac:dyDescent="0.25">
      <c r="A35" s="33"/>
      <c r="B35" s="34"/>
      <c r="C35" s="34"/>
      <c r="D35" s="34"/>
      <c r="E35" s="35"/>
    </row>
    <row r="36" spans="1:5" x14ac:dyDescent="0.25">
      <c r="A36" s="33"/>
      <c r="B36" s="34"/>
      <c r="C36" s="34"/>
      <c r="D36" s="34"/>
      <c r="E36" s="35"/>
    </row>
    <row r="37" spans="1:5" x14ac:dyDescent="0.25">
      <c r="A37" s="33"/>
      <c r="B37" s="34"/>
      <c r="C37" s="34"/>
      <c r="D37" s="34"/>
      <c r="E37" s="35"/>
    </row>
    <row r="38" spans="1:5" x14ac:dyDescent="0.25">
      <c r="A38" s="33"/>
      <c r="B38" s="34"/>
      <c r="C38" s="34"/>
      <c r="D38" s="34"/>
      <c r="E38" s="35"/>
    </row>
    <row r="39" spans="1:5" x14ac:dyDescent="0.25">
      <c r="A39" s="33"/>
      <c r="B39" s="34"/>
      <c r="C39" s="34"/>
      <c r="D39" s="34"/>
      <c r="E39" s="35"/>
    </row>
    <row r="40" spans="1:5" x14ac:dyDescent="0.25">
      <c r="A40" s="33"/>
      <c r="B40" s="34"/>
      <c r="C40" s="34"/>
      <c r="D40" s="34"/>
      <c r="E40" s="35"/>
    </row>
    <row r="41" spans="1:5" x14ac:dyDescent="0.25">
      <c r="A41" s="33"/>
      <c r="B41" s="34"/>
      <c r="C41" s="34"/>
      <c r="D41" s="34"/>
      <c r="E41" s="35"/>
    </row>
    <row r="42" spans="1:5" x14ac:dyDescent="0.25">
      <c r="A42" s="33"/>
      <c r="B42" s="34"/>
      <c r="C42" s="34"/>
      <c r="D42" s="34"/>
      <c r="E42" s="35"/>
    </row>
    <row r="43" spans="1:5" x14ac:dyDescent="0.25">
      <c r="A43" s="33"/>
      <c r="B43" s="34"/>
      <c r="C43" s="34"/>
      <c r="D43" s="34"/>
      <c r="E43" s="35"/>
    </row>
    <row r="44" spans="1:5" x14ac:dyDescent="0.25">
      <c r="A44" s="33"/>
      <c r="B44" s="34"/>
      <c r="C44" s="34"/>
      <c r="D44" s="34"/>
      <c r="E44" s="35"/>
    </row>
    <row r="45" spans="1:5" x14ac:dyDescent="0.25">
      <c r="A45" s="33"/>
      <c r="B45" s="34"/>
      <c r="C45" s="34"/>
      <c r="D45" s="34"/>
      <c r="E45" s="35"/>
    </row>
    <row r="46" spans="1:5" x14ac:dyDescent="0.25">
      <c r="A46" s="33"/>
      <c r="B46" s="34"/>
      <c r="C46" s="34"/>
      <c r="D46" s="34"/>
      <c r="E46" s="35"/>
    </row>
    <row r="47" spans="1:5" x14ac:dyDescent="0.25">
      <c r="A47" s="33"/>
      <c r="B47" s="34"/>
      <c r="C47" s="34"/>
      <c r="D47" s="34"/>
      <c r="E47" s="35"/>
    </row>
    <row r="48" spans="1:5" x14ac:dyDescent="0.25">
      <c r="A48" s="33"/>
      <c r="B48" s="34"/>
      <c r="C48" s="34"/>
      <c r="D48" s="34"/>
      <c r="E48" s="35"/>
    </row>
    <row r="49" spans="1:5" x14ac:dyDescent="0.25">
      <c r="A49" s="33"/>
      <c r="B49" s="34"/>
      <c r="C49" s="34"/>
      <c r="D49" s="34"/>
      <c r="E49" s="35"/>
    </row>
    <row r="50" spans="1:5" ht="15.75" thickBot="1" x14ac:dyDescent="0.3">
      <c r="A50" s="36"/>
      <c r="B50" s="37"/>
      <c r="C50" s="37"/>
      <c r="D50" s="37"/>
      <c r="E50" s="38"/>
    </row>
  </sheetData>
  <mergeCells count="1">
    <mergeCell ref="A15:E5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Arise</dc:creator>
  <cp:lastModifiedBy>Arise</cp:lastModifiedBy>
  <dcterms:created xsi:type="dcterms:W3CDTF">2015-06-05T18:17:20Z</dcterms:created>
  <dcterms:modified xsi:type="dcterms:W3CDTF">2025-10-02T11:32:12Z</dcterms:modified>
</cp:coreProperties>
</file>